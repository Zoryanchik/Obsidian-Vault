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Новая папка\"/>
    </mc:Choice>
  </mc:AlternateContent>
  <xr:revisionPtr revIDLastSave="0" documentId="8_{7400CF95-B8D4-48AC-8BE1-4A705D6DEE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3" i="4"/>
  <c r="I10" i="4"/>
  <c r="I6" i="4"/>
  <c r="I3" i="4"/>
  <c r="F22" i="4"/>
  <c r="F21" i="4"/>
  <c r="F6" i="4"/>
  <c r="F20" i="4"/>
  <c r="F4" i="4"/>
  <c r="F12" i="4"/>
  <c r="F18" i="4"/>
  <c r="F19" i="4"/>
  <c r="F11" i="4"/>
  <c r="F15" i="4"/>
  <c r="F14" i="4"/>
  <c r="F16" i="4"/>
  <c r="F5" i="4"/>
  <c r="F17" i="4"/>
  <c r="F13" i="4"/>
  <c r="F10" i="4"/>
  <c r="F7" i="4"/>
  <c r="F9" i="4"/>
  <c r="F3" i="4"/>
  <c r="F8" i="4"/>
  <c r="F24" i="4" l="1"/>
  <c r="G5" i="4" s="1"/>
  <c r="G9" i="4" l="1"/>
  <c r="G3" i="4"/>
  <c r="G17" i="4"/>
  <c r="G4" i="4"/>
  <c r="G18" i="4"/>
  <c r="G12" i="4"/>
  <c r="G11" i="4"/>
  <c r="G16" i="4"/>
  <c r="G20" i="4"/>
  <c r="G7" i="4"/>
  <c r="G8" i="4"/>
  <c r="G15" i="4"/>
  <c r="G14" i="4"/>
  <c r="G10" i="4"/>
  <c r="G19" i="4"/>
  <c r="G22" i="4"/>
  <c r="G6" i="4"/>
  <c r="G13" i="4"/>
  <c r="G21" i="4"/>
</calcChain>
</file>

<file path=xl/sharedStrings.xml><?xml version="1.0" encoding="utf-8"?>
<sst xmlns="http://schemas.openxmlformats.org/spreadsheetml/2006/main" count="35" uniqueCount="15">
  <si>
    <t>Sample no</t>
  </si>
  <si>
    <t>Sales unit cost</t>
  </si>
  <si>
    <t>Last 12 months' sales</t>
  </si>
  <si>
    <t>Inventory at year end</t>
  </si>
  <si>
    <t>Data for Supplies4medics.com (Slack et al)</t>
  </si>
  <si>
    <r>
      <t>C</t>
    </r>
    <r>
      <rPr>
        <vertAlign val="subscript"/>
        <sz val="11"/>
        <color theme="1"/>
        <rFont val="Calibri"/>
        <family val="2"/>
        <scheme val="minor"/>
      </rPr>
      <t>o</t>
    </r>
  </si>
  <si>
    <r>
      <t>C</t>
    </r>
    <r>
      <rPr>
        <vertAlign val="subscript"/>
        <sz val="11"/>
        <color theme="1"/>
        <rFont val="Calibri"/>
        <family val="2"/>
        <scheme val="minor"/>
      </rPr>
      <t>h</t>
    </r>
  </si>
  <si>
    <t>Re-order quantity (units)</t>
  </si>
  <si>
    <t>Total</t>
  </si>
  <si>
    <t>cost total</t>
  </si>
  <si>
    <t>percentage</t>
  </si>
  <si>
    <t>A</t>
  </si>
  <si>
    <t>B</t>
  </si>
  <si>
    <t>C</t>
  </si>
  <si>
    <t>Inventory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</si>
</sst>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L15" sqref="L15"/>
    </sheetView>
  </sheetViews>
  <sheetFormatPr defaultRowHeight="15" x14ac:dyDescent="0.25"/>
  <cols>
    <col min="4" max="5" width="10.42578125" customWidth="1"/>
    <col min="9" max="9" width="20.42578125" bestFit="1" customWidth="1"/>
    <col min="10" max="10" width="9.85546875" customWidth="1"/>
    <col min="12" max="12" width="12.42578125" customWidth="1"/>
    <col min="15" max="15" width="13.7109375" customWidth="1"/>
  </cols>
  <sheetData>
    <row r="1" spans="1:18" x14ac:dyDescent="0.25">
      <c r="A1" t="s">
        <v>4</v>
      </c>
    </row>
    <row r="2" spans="1:1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</v>
      </c>
      <c r="F2" s="2" t="s">
        <v>9</v>
      </c>
      <c r="G2" s="3" t="s">
        <v>10</v>
      </c>
      <c r="H2" s="4"/>
      <c r="I2" s="4"/>
      <c r="J2" s="4"/>
      <c r="K2" s="4" t="s">
        <v>14</v>
      </c>
      <c r="L2" s="2"/>
      <c r="M2" s="1"/>
      <c r="N2" s="2"/>
      <c r="O2" s="2"/>
      <c r="P2" s="2"/>
      <c r="Q2" s="2"/>
      <c r="R2" s="3"/>
    </row>
    <row r="3" spans="1:18" x14ac:dyDescent="0.25">
      <c r="A3">
        <v>19</v>
      </c>
      <c r="B3">
        <v>430</v>
      </c>
      <c r="C3">
        <v>430</v>
      </c>
      <c r="D3">
        <v>40</v>
      </c>
      <c r="E3">
        <v>50</v>
      </c>
      <c r="F3" s="3">
        <f>C3*B3</f>
        <v>184900</v>
      </c>
      <c r="G3" s="8">
        <f>F3/$F$24</f>
        <v>0.41326774989455972</v>
      </c>
      <c r="H3" t="s">
        <v>11</v>
      </c>
      <c r="I3" s="5">
        <f>SUM(G3:G4)</f>
        <v>0.69019513881795591</v>
      </c>
      <c r="J3" t="s">
        <v>11</v>
      </c>
      <c r="K3">
        <f>D3/(C3/52)</f>
        <v>4.8372093023255811</v>
      </c>
      <c r="L3" s="3"/>
      <c r="N3" s="3"/>
      <c r="O3" s="3"/>
      <c r="P3" s="3"/>
      <c r="Q3" s="3"/>
      <c r="R3" s="3"/>
    </row>
    <row r="4" spans="1:18" x14ac:dyDescent="0.25">
      <c r="A4">
        <v>4</v>
      </c>
      <c r="B4">
        <v>3.5</v>
      </c>
      <c r="C4">
        <v>35400</v>
      </c>
      <c r="D4">
        <v>8500</v>
      </c>
      <c r="E4">
        <v>10000</v>
      </c>
      <c r="F4" s="3">
        <f>C4*B4</f>
        <v>123900</v>
      </c>
      <c r="G4" s="8">
        <f>F4/$F$24</f>
        <v>0.27692738892339613</v>
      </c>
      <c r="H4" t="s">
        <v>11</v>
      </c>
      <c r="K4">
        <f t="shared" ref="K4:K22" si="0">D4/(C4/52)</f>
        <v>12.48587570621469</v>
      </c>
      <c r="L4" s="3"/>
      <c r="N4" s="3"/>
      <c r="O4" s="3"/>
      <c r="P4" s="3"/>
      <c r="Q4" s="3"/>
      <c r="R4" s="3"/>
    </row>
    <row r="5" spans="1:18" x14ac:dyDescent="0.25">
      <c r="A5">
        <v>13</v>
      </c>
      <c r="B5">
        <v>1.4</v>
      </c>
      <c r="C5">
        <v>22500</v>
      </c>
      <c r="D5">
        <v>10500</v>
      </c>
      <c r="E5">
        <v>8000</v>
      </c>
      <c r="F5" s="3">
        <f>C5*B5</f>
        <v>31499.999999999996</v>
      </c>
      <c r="G5" s="8">
        <f>F5/$F$24</f>
        <v>7.0405268370354948E-2</v>
      </c>
      <c r="H5" t="s">
        <v>12</v>
      </c>
      <c r="K5">
        <f t="shared" si="0"/>
        <v>24.266666666666666</v>
      </c>
      <c r="L5" s="3"/>
      <c r="N5" s="3"/>
      <c r="O5" s="3"/>
      <c r="P5" s="3"/>
      <c r="Q5" s="3"/>
      <c r="R5" s="3"/>
    </row>
    <row r="6" spans="1:18" x14ac:dyDescent="0.25">
      <c r="A6">
        <v>2</v>
      </c>
      <c r="B6">
        <v>3.6</v>
      </c>
      <c r="C6">
        <v>6000</v>
      </c>
      <c r="D6" s="7">
        <v>1200</v>
      </c>
      <c r="E6" s="7">
        <v>1000</v>
      </c>
      <c r="F6" s="3">
        <f>C6*B6</f>
        <v>21600</v>
      </c>
      <c r="G6" s="8">
        <f>F6/$F$24</f>
        <v>4.8277898311100541E-2</v>
      </c>
      <c r="H6" t="s">
        <v>12</v>
      </c>
      <c r="I6" s="8">
        <f>SUM(G5:G6:G7:G8:G9)</f>
        <v>0.2273826427992062</v>
      </c>
      <c r="J6" t="s">
        <v>12</v>
      </c>
      <c r="K6">
        <f t="shared" si="0"/>
        <v>10.4</v>
      </c>
      <c r="L6" s="3"/>
      <c r="N6" s="3"/>
      <c r="O6" s="3"/>
      <c r="P6" s="3"/>
      <c r="Q6" s="3"/>
      <c r="R6" s="3"/>
    </row>
    <row r="7" spans="1:18" x14ac:dyDescent="0.25">
      <c r="A7">
        <v>17</v>
      </c>
      <c r="B7">
        <v>80.400000000000006</v>
      </c>
      <c r="C7">
        <v>268</v>
      </c>
      <c r="D7">
        <v>6</v>
      </c>
      <c r="E7">
        <v>100</v>
      </c>
      <c r="F7" s="3">
        <f>C7*B7</f>
        <v>21547.200000000001</v>
      </c>
      <c r="G7" s="8">
        <f>F7/$F$24</f>
        <v>4.8159885670784518E-2</v>
      </c>
      <c r="H7" t="s">
        <v>12</v>
      </c>
      <c r="K7">
        <f t="shared" si="0"/>
        <v>1.164179104477612</v>
      </c>
      <c r="L7" s="3"/>
      <c r="N7" s="3"/>
      <c r="O7" s="3"/>
      <c r="R7" s="3"/>
    </row>
    <row r="8" spans="1:18" x14ac:dyDescent="0.25">
      <c r="A8">
        <v>20</v>
      </c>
      <c r="B8">
        <v>25.6</v>
      </c>
      <c r="C8">
        <v>560</v>
      </c>
      <c r="D8">
        <v>18</v>
      </c>
      <c r="E8">
        <v>20</v>
      </c>
      <c r="F8" s="3">
        <f>C8*B8</f>
        <v>14336</v>
      </c>
      <c r="G8" s="8">
        <f>F8/$F$24</f>
        <v>3.2042219916108214E-2</v>
      </c>
      <c r="H8" t="s">
        <v>12</v>
      </c>
      <c r="K8">
        <f t="shared" si="0"/>
        <v>1.6714285714285713</v>
      </c>
      <c r="L8" s="3"/>
      <c r="N8" s="3"/>
      <c r="O8" s="3"/>
      <c r="R8" s="3"/>
    </row>
    <row r="9" spans="1:18" x14ac:dyDescent="0.25">
      <c r="A9">
        <v>18</v>
      </c>
      <c r="B9">
        <v>10.199999999999999</v>
      </c>
      <c r="C9">
        <v>1250</v>
      </c>
      <c r="D9">
        <v>172</v>
      </c>
      <c r="E9">
        <v>100</v>
      </c>
      <c r="F9" s="3">
        <f>C9*B9</f>
        <v>12750</v>
      </c>
      <c r="G9" s="8">
        <f>F9/$F$24</f>
        <v>2.8497370530857959E-2</v>
      </c>
      <c r="H9" t="s">
        <v>12</v>
      </c>
      <c r="K9">
        <f t="shared" si="0"/>
        <v>7.1551999999999998</v>
      </c>
      <c r="L9" s="3"/>
      <c r="N9" s="3"/>
      <c r="O9" s="3"/>
      <c r="R9" s="3"/>
    </row>
    <row r="10" spans="1:18" x14ac:dyDescent="0.25">
      <c r="A10">
        <v>16</v>
      </c>
      <c r="B10">
        <v>755</v>
      </c>
      <c r="C10">
        <v>14</v>
      </c>
      <c r="D10">
        <v>5</v>
      </c>
      <c r="E10">
        <v>5</v>
      </c>
      <c r="F10" s="3">
        <f>C10*B10</f>
        <v>10570</v>
      </c>
      <c r="G10" s="8">
        <f>F10/$F$24</f>
        <v>2.3624878942052441E-2</v>
      </c>
      <c r="H10" t="s">
        <v>13</v>
      </c>
      <c r="I10" s="5">
        <f>SUM(G10:G22)</f>
        <v>8.2422218382837906E-2</v>
      </c>
      <c r="J10" t="s">
        <v>13</v>
      </c>
      <c r="K10">
        <f t="shared" si="0"/>
        <v>18.571428571428573</v>
      </c>
      <c r="L10" s="3"/>
      <c r="N10" s="3"/>
      <c r="O10" s="3"/>
      <c r="R10" s="3"/>
    </row>
    <row r="11" spans="1:18" x14ac:dyDescent="0.25">
      <c r="A11">
        <v>8</v>
      </c>
      <c r="B11">
        <v>187</v>
      </c>
      <c r="C11">
        <v>40</v>
      </c>
      <c r="D11">
        <v>2</v>
      </c>
      <c r="E11">
        <v>10</v>
      </c>
      <c r="F11" s="3">
        <f>C11*B11</f>
        <v>7480</v>
      </c>
      <c r="G11" s="8">
        <f>F11/$F$24</f>
        <v>1.6718457378103336E-2</v>
      </c>
      <c r="H11" t="s">
        <v>13</v>
      </c>
      <c r="K11">
        <f t="shared" si="0"/>
        <v>2.5999999999999996</v>
      </c>
      <c r="L11" s="3"/>
      <c r="N11" s="3"/>
      <c r="O11" s="3"/>
      <c r="R11" s="3"/>
    </row>
    <row r="12" spans="1:18" x14ac:dyDescent="0.25">
      <c r="A12">
        <v>5</v>
      </c>
      <c r="B12">
        <v>11.3</v>
      </c>
      <c r="C12">
        <v>430</v>
      </c>
      <c r="D12">
        <v>120</v>
      </c>
      <c r="E12">
        <v>100</v>
      </c>
      <c r="F12" s="3">
        <f>C12*B12</f>
        <v>4859</v>
      </c>
      <c r="G12" s="8">
        <f>F12/$F$24</f>
        <v>1.0860292032112848E-2</v>
      </c>
      <c r="H12" t="s">
        <v>13</v>
      </c>
      <c r="K12">
        <f t="shared" si="0"/>
        <v>14.511627906976743</v>
      </c>
      <c r="L12" s="3"/>
      <c r="N12" s="3"/>
      <c r="O12" s="3"/>
      <c r="R12" s="3"/>
    </row>
    <row r="13" spans="1:18" x14ac:dyDescent="0.25">
      <c r="A13">
        <v>15</v>
      </c>
      <c r="B13">
        <v>89</v>
      </c>
      <c r="C13">
        <v>44</v>
      </c>
      <c r="D13">
        <v>2</v>
      </c>
      <c r="E13">
        <v>10</v>
      </c>
      <c r="F13" s="3">
        <f>C13*B13</f>
        <v>3916</v>
      </c>
      <c r="G13" s="8">
        <f>F13/$F$24</f>
        <v>8.7526041567717455E-3</v>
      </c>
      <c r="H13" t="s">
        <v>13</v>
      </c>
      <c r="K13">
        <f t="shared" si="0"/>
        <v>2.3636363636363638</v>
      </c>
      <c r="L13" s="3"/>
      <c r="N13" s="3"/>
      <c r="O13" s="3"/>
      <c r="R13" s="3"/>
    </row>
    <row r="14" spans="1:18" x14ac:dyDescent="0.25">
      <c r="A14">
        <v>11</v>
      </c>
      <c r="B14">
        <v>0.6</v>
      </c>
      <c r="C14">
        <v>3560</v>
      </c>
      <c r="D14">
        <v>12</v>
      </c>
      <c r="E14">
        <v>20</v>
      </c>
      <c r="F14" s="3">
        <f>C14*B14</f>
        <v>2136</v>
      </c>
      <c r="G14" s="8">
        <f>F14/$F$24</f>
        <v>4.774147721875498E-3</v>
      </c>
      <c r="H14" t="s">
        <v>13</v>
      </c>
      <c r="K14">
        <f t="shared" si="0"/>
        <v>0.17528089887640447</v>
      </c>
      <c r="L14" s="3"/>
      <c r="N14" s="3"/>
      <c r="O14" s="3"/>
      <c r="R14" s="3"/>
    </row>
    <row r="15" spans="1:18" x14ac:dyDescent="0.25">
      <c r="A15">
        <v>9</v>
      </c>
      <c r="B15">
        <v>1.5</v>
      </c>
      <c r="C15">
        <v>1260</v>
      </c>
      <c r="D15">
        <v>0</v>
      </c>
      <c r="E15">
        <v>50</v>
      </c>
      <c r="F15" s="3">
        <f>C15*B15</f>
        <v>1890</v>
      </c>
      <c r="G15" s="8">
        <f>F15/$F$24</f>
        <v>4.2243161022212971E-3</v>
      </c>
      <c r="H15" t="s">
        <v>13</v>
      </c>
      <c r="K15">
        <f t="shared" si="0"/>
        <v>0</v>
      </c>
      <c r="L15" s="3"/>
      <c r="N15" s="3"/>
      <c r="O15" s="3"/>
      <c r="R15" s="3"/>
    </row>
    <row r="16" spans="1:18" x14ac:dyDescent="0.25">
      <c r="A16">
        <v>12</v>
      </c>
      <c r="B16">
        <v>152.5</v>
      </c>
      <c r="C16">
        <v>12</v>
      </c>
      <c r="D16">
        <v>44</v>
      </c>
      <c r="E16">
        <v>50</v>
      </c>
      <c r="F16" s="3">
        <f>C16*B16</f>
        <v>1830</v>
      </c>
      <c r="G16" s="8">
        <f>F16/$F$24</f>
        <v>4.0902108291349069E-3</v>
      </c>
      <c r="H16" t="s">
        <v>13</v>
      </c>
      <c r="K16">
        <f t="shared" si="0"/>
        <v>190.66666666666666</v>
      </c>
      <c r="L16" s="3"/>
      <c r="N16" s="3"/>
      <c r="O16" s="3"/>
      <c r="R16" s="3"/>
    </row>
    <row r="17" spans="1:18" x14ac:dyDescent="0.25">
      <c r="A17">
        <v>14</v>
      </c>
      <c r="B17">
        <v>12</v>
      </c>
      <c r="C17">
        <v>140</v>
      </c>
      <c r="D17">
        <v>24</v>
      </c>
      <c r="E17">
        <v>20</v>
      </c>
      <c r="F17" s="3">
        <f>C17*B17</f>
        <v>1680</v>
      </c>
      <c r="G17" s="8">
        <f>F17/$F$24</f>
        <v>3.7549476464189308E-3</v>
      </c>
      <c r="H17" t="s">
        <v>13</v>
      </c>
      <c r="K17">
        <f t="shared" si="0"/>
        <v>8.9142857142857128</v>
      </c>
      <c r="L17" s="3"/>
      <c r="N17" s="3"/>
      <c r="O17" s="3"/>
      <c r="R17" s="3"/>
    </row>
    <row r="18" spans="1:18" x14ac:dyDescent="0.25">
      <c r="A18">
        <v>6</v>
      </c>
      <c r="B18">
        <v>17.399999999999999</v>
      </c>
      <c r="C18">
        <v>65</v>
      </c>
      <c r="D18">
        <v>20</v>
      </c>
      <c r="E18">
        <v>20</v>
      </c>
      <c r="F18" s="3">
        <f>C18*B18</f>
        <v>1131</v>
      </c>
      <c r="G18" s="8">
        <f>F18/$F$24</f>
        <v>2.5278843976784589E-3</v>
      </c>
      <c r="H18" t="s">
        <v>13</v>
      </c>
      <c r="K18">
        <f t="shared" si="0"/>
        <v>16</v>
      </c>
      <c r="L18" s="3"/>
      <c r="N18" s="3"/>
      <c r="O18" s="3"/>
      <c r="R18" s="3"/>
    </row>
    <row r="19" spans="1:18" x14ac:dyDescent="0.25">
      <c r="A19">
        <v>7</v>
      </c>
      <c r="B19">
        <v>7</v>
      </c>
      <c r="C19">
        <v>120</v>
      </c>
      <c r="D19">
        <v>160</v>
      </c>
      <c r="E19">
        <v>500</v>
      </c>
      <c r="F19" s="3">
        <f>C19*B19</f>
        <v>840</v>
      </c>
      <c r="G19" s="8">
        <f>F19/$F$24</f>
        <v>1.8774738232094654E-3</v>
      </c>
      <c r="H19" t="s">
        <v>13</v>
      </c>
      <c r="K19">
        <f t="shared" si="0"/>
        <v>69.333333333333343</v>
      </c>
      <c r="L19" s="3"/>
      <c r="N19" s="3"/>
      <c r="O19" s="3"/>
      <c r="R19" s="3"/>
    </row>
    <row r="20" spans="1:18" x14ac:dyDescent="0.25">
      <c r="A20">
        <v>3</v>
      </c>
      <c r="B20">
        <v>1.1000000000000001</v>
      </c>
      <c r="C20">
        <v>220</v>
      </c>
      <c r="D20">
        <v>420</v>
      </c>
      <c r="E20">
        <v>250</v>
      </c>
      <c r="F20" s="3">
        <f>C20*B20</f>
        <v>242.00000000000003</v>
      </c>
      <c r="G20" s="8">
        <f>F20/$F$24</f>
        <v>5.4089126811510796E-4</v>
      </c>
      <c r="H20" t="s">
        <v>13</v>
      </c>
      <c r="K20">
        <f t="shared" si="0"/>
        <v>99.272727272727266</v>
      </c>
      <c r="L20" s="3"/>
      <c r="N20" s="3"/>
      <c r="O20" s="3"/>
      <c r="R20" s="3"/>
    </row>
    <row r="21" spans="1:18" x14ac:dyDescent="0.25">
      <c r="A21">
        <v>1</v>
      </c>
      <c r="B21">
        <v>2.4</v>
      </c>
      <c r="C21">
        <v>100</v>
      </c>
      <c r="D21">
        <v>0</v>
      </c>
      <c r="E21">
        <v>10</v>
      </c>
      <c r="F21" s="3">
        <f>C21*B21</f>
        <v>240</v>
      </c>
      <c r="G21" s="8">
        <f>F21/$F$24</f>
        <v>5.3642109234556157E-4</v>
      </c>
      <c r="H21" t="s">
        <v>13</v>
      </c>
      <c r="K21">
        <f t="shared" si="0"/>
        <v>0</v>
      </c>
      <c r="L21" s="3"/>
      <c r="N21" s="3"/>
      <c r="O21" s="3"/>
      <c r="R21" s="3"/>
    </row>
    <row r="22" spans="1:18" x14ac:dyDescent="0.25">
      <c r="A22">
        <v>10</v>
      </c>
      <c r="B22">
        <v>6.25</v>
      </c>
      <c r="C22">
        <v>10</v>
      </c>
      <c r="D22">
        <v>16</v>
      </c>
      <c r="E22">
        <v>25</v>
      </c>
      <c r="F22" s="3">
        <f>C22*B22</f>
        <v>62.5</v>
      </c>
      <c r="G22" s="8">
        <f>F22/$F$24</f>
        <v>1.3969299279832333E-4</v>
      </c>
      <c r="H22" t="s">
        <v>13</v>
      </c>
      <c r="K22">
        <f t="shared" si="0"/>
        <v>83.199999999999989</v>
      </c>
      <c r="L22" s="3"/>
      <c r="N22" s="3"/>
      <c r="O22" s="3"/>
      <c r="R22" s="3"/>
    </row>
    <row r="24" spans="1:18" ht="18" x14ac:dyDescent="0.35">
      <c r="A24" t="s">
        <v>5</v>
      </c>
      <c r="B24" s="6">
        <v>50</v>
      </c>
      <c r="E24" t="s">
        <v>8</v>
      </c>
      <c r="F24" s="7">
        <f>SUM(F3:F22)</f>
        <v>447409.7</v>
      </c>
    </row>
    <row r="25" spans="1:18" ht="18" x14ac:dyDescent="0.35">
      <c r="A25" t="s">
        <v>6</v>
      </c>
      <c r="B25" s="5">
        <v>0.15</v>
      </c>
    </row>
  </sheetData>
  <sortState xmlns:xlrd2="http://schemas.microsoft.com/office/spreadsheetml/2017/richdata2" ref="A3:I23">
    <sortCondition descending="1" ref="G3:G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>Lancaster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msagkr</dc:creator>
  <cp:lastModifiedBy>Mart, Zorian (Student)</cp:lastModifiedBy>
  <dcterms:created xsi:type="dcterms:W3CDTF">2014-01-29T14:08:23Z</dcterms:created>
  <dcterms:modified xsi:type="dcterms:W3CDTF">2025-02-04T16:08:21Z</dcterms:modified>
</cp:coreProperties>
</file>